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er" sheetId="1" r:id="rId1"/>
  </sheets>
  <calcPr calcId="124519" fullCalcOnLoad="1"/>
</workbook>
</file>

<file path=xl/sharedStrings.xml><?xml version="1.0" encoding="utf-8"?>
<sst xmlns="http://schemas.openxmlformats.org/spreadsheetml/2006/main" count="85" uniqueCount="53">
  <si>
    <t>item_type</t>
  </si>
  <si>
    <t>plant_abbrev</t>
  </si>
  <si>
    <t>transfer_min_PCR</t>
  </si>
  <si>
    <t>transfer_min_TBR</t>
  </si>
  <si>
    <t>source</t>
  </si>
  <si>
    <t>note</t>
  </si>
  <si>
    <t>INNER LINER</t>
  </si>
  <si>
    <t>SIDEWALL</t>
  </si>
  <si>
    <t>PLY</t>
  </si>
  <si>
    <t>BEAD APEX</t>
  </si>
  <si>
    <t>TREAD</t>
  </si>
  <si>
    <t>BELT</t>
  </si>
  <si>
    <t>STEEL BELT</t>
  </si>
  <si>
    <t>CAP STRIP</t>
  </si>
  <si>
    <t>FINAL COMPOUND</t>
  </si>
  <si>
    <t>MASTER COMPOUND</t>
  </si>
  <si>
    <t>CHAFFER</t>
  </si>
  <si>
    <t>STEEL TYRE CORD</t>
  </si>
  <si>
    <t>SHOULDER PAD</t>
  </si>
  <si>
    <t>BEAD BUNDLE</t>
  </si>
  <si>
    <t>WOUND BEAD</t>
  </si>
  <si>
    <t>RUBBERIZED PLY</t>
  </si>
  <si>
    <t>CALANDARED ROLL</t>
  </si>
  <si>
    <t>SMALL CHEMICAL</t>
  </si>
  <si>
    <t>APEX</t>
  </si>
  <si>
    <t>STEEL BELT EDGE STRIP</t>
  </si>
  <si>
    <t>SLITTED MATERIAL</t>
  </si>
  <si>
    <t>PRE CUT ROLL MATERIAL</t>
  </si>
  <si>
    <t>GREEN TYRE</t>
  </si>
  <si>
    <t>CARCASS</t>
  </si>
  <si>
    <t>IL</t>
  </si>
  <si>
    <t>SW</t>
  </si>
  <si>
    <t>Ply</t>
  </si>
  <si>
    <t>Bead</t>
  </si>
  <si>
    <t>Traed</t>
  </si>
  <si>
    <t>Belt</t>
  </si>
  <si>
    <t>Capstrip</t>
  </si>
  <si>
    <t>Final Compound</t>
  </si>
  <si>
    <t>Master Compound</t>
  </si>
  <si>
    <t>Chaffer</t>
  </si>
  <si>
    <t>STC</t>
  </si>
  <si>
    <t>SP</t>
  </si>
  <si>
    <t>STC/Ply</t>
  </si>
  <si>
    <t>-</t>
  </si>
  <si>
    <t>P</t>
  </si>
  <si>
    <t>F</t>
  </si>
  <si>
    <t>plant spelling 'Traed'</t>
  </si>
  <si>
    <t>STC = steel tyre cord (calendered steel)</t>
  </si>
  <si>
    <t>calendered roll = STC/Ply</t>
  </si>
  <si>
    <t>mixing sub-batch = Master Compound</t>
  </si>
  <si>
    <t>bead-apex compound = Bead</t>
  </si>
  <si>
    <t>build-&gt;cure move; default 10</t>
  </si>
  <si>
    <t>stage1-&gt;stage2 build move; default 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</si>
</sst>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30</v>
      </c>
      <c r="C2">
        <v>10</v>
      </c>
      <c r="D2">
        <v>15</v>
      </c>
      <c r="E2" t="s">
        <v>44</v>
      </c>
    </row>
    <row r="3" spans="1:6">
      <c r="A3" t="s">
        <v>7</v>
      </c>
      <c r="B3" t="s">
        <v>31</v>
      </c>
      <c r="C3">
        <v>10</v>
      </c>
      <c r="D3">
        <v>10</v>
      </c>
      <c r="E3" t="s">
        <v>44</v>
      </c>
    </row>
    <row r="4" spans="1:6">
      <c r="A4" t="s">
        <v>8</v>
      </c>
      <c r="B4" t="s">
        <v>32</v>
      </c>
      <c r="C4">
        <v>10</v>
      </c>
      <c r="D4">
        <v>10</v>
      </c>
      <c r="E4" t="s">
        <v>44</v>
      </c>
    </row>
    <row r="5" spans="1:6">
      <c r="A5" t="s">
        <v>9</v>
      </c>
      <c r="B5" t="s">
        <v>33</v>
      </c>
      <c r="C5">
        <v>7</v>
      </c>
      <c r="D5">
        <v>7</v>
      </c>
      <c r="E5" t="s">
        <v>44</v>
      </c>
    </row>
    <row r="6" spans="1:6">
      <c r="A6" t="s">
        <v>10</v>
      </c>
      <c r="B6" t="s">
        <v>34</v>
      </c>
      <c r="C6">
        <v>15</v>
      </c>
      <c r="D6">
        <v>15</v>
      </c>
      <c r="E6" t="s">
        <v>44</v>
      </c>
      <c r="F6" t="s">
        <v>46</v>
      </c>
    </row>
    <row r="7" spans="1:6">
      <c r="A7" t="s">
        <v>11</v>
      </c>
      <c r="B7" t="s">
        <v>35</v>
      </c>
      <c r="C7">
        <v>10</v>
      </c>
      <c r="D7">
        <v>10</v>
      </c>
      <c r="E7" t="s">
        <v>44</v>
      </c>
    </row>
    <row r="8" spans="1:6">
      <c r="A8" t="s">
        <v>12</v>
      </c>
      <c r="B8" t="s">
        <v>35</v>
      </c>
      <c r="C8">
        <v>10</v>
      </c>
      <c r="D8">
        <v>10</v>
      </c>
      <c r="E8" t="s">
        <v>44</v>
      </c>
      <c r="F8">
        <f> plant Belt</f>
        <v>0</v>
      </c>
    </row>
    <row r="9" spans="1:6">
      <c r="A9" t="s">
        <v>13</v>
      </c>
      <c r="B9" t="s">
        <v>36</v>
      </c>
      <c r="C9">
        <v>5</v>
      </c>
      <c r="D9">
        <v>5</v>
      </c>
      <c r="E9" t="s">
        <v>44</v>
      </c>
    </row>
    <row r="10" spans="1:6">
      <c r="A10" t="s">
        <v>14</v>
      </c>
      <c r="B10" t="s">
        <v>37</v>
      </c>
      <c r="C10">
        <v>10</v>
      </c>
      <c r="D10">
        <v>10</v>
      </c>
      <c r="E10" t="s">
        <v>44</v>
      </c>
    </row>
    <row r="11" spans="1:6">
      <c r="A11" t="s">
        <v>15</v>
      </c>
      <c r="B11" t="s">
        <v>38</v>
      </c>
      <c r="C11">
        <v>4</v>
      </c>
      <c r="D11">
        <v>4</v>
      </c>
      <c r="E11" t="s">
        <v>44</v>
      </c>
    </row>
    <row r="12" spans="1:6">
      <c r="A12" t="s">
        <v>16</v>
      </c>
      <c r="B12" t="s">
        <v>39</v>
      </c>
      <c r="C12">
        <v>7</v>
      </c>
      <c r="D12">
        <v>7</v>
      </c>
      <c r="E12" t="s">
        <v>44</v>
      </c>
    </row>
    <row r="13" spans="1:6">
      <c r="A13" t="s">
        <v>17</v>
      </c>
      <c r="B13" t="s">
        <v>40</v>
      </c>
      <c r="C13">
        <v>10</v>
      </c>
      <c r="D13">
        <v>10</v>
      </c>
      <c r="E13" t="s">
        <v>44</v>
      </c>
      <c r="F13" t="s">
        <v>47</v>
      </c>
    </row>
    <row r="14" spans="1:6">
      <c r="A14" t="s">
        <v>18</v>
      </c>
      <c r="B14" t="s">
        <v>41</v>
      </c>
      <c r="C14">
        <v>10</v>
      </c>
      <c r="D14">
        <v>10</v>
      </c>
      <c r="E14" t="s">
        <v>44</v>
      </c>
    </row>
    <row r="15" spans="1:6">
      <c r="A15" t="s">
        <v>19</v>
      </c>
      <c r="B15" t="s">
        <v>33</v>
      </c>
      <c r="C15">
        <v>7</v>
      </c>
      <c r="D15">
        <v>7</v>
      </c>
      <c r="E15" t="s">
        <v>45</v>
      </c>
      <c r="F15">
        <f> plant Bead</f>
        <v>0</v>
      </c>
    </row>
    <row r="16" spans="1:6">
      <c r="A16" t="s">
        <v>20</v>
      </c>
      <c r="B16" t="s">
        <v>33</v>
      </c>
      <c r="C16">
        <v>7</v>
      </c>
      <c r="D16">
        <v>7</v>
      </c>
      <c r="E16" t="s">
        <v>45</v>
      </c>
      <c r="F16">
        <f> plant Bead</f>
        <v>0</v>
      </c>
    </row>
    <row r="17" spans="1:6">
      <c r="A17" t="s">
        <v>21</v>
      </c>
      <c r="B17" t="s">
        <v>32</v>
      </c>
      <c r="C17">
        <v>10</v>
      </c>
      <c r="D17">
        <v>10</v>
      </c>
      <c r="E17" t="s">
        <v>45</v>
      </c>
      <c r="F17">
        <f> plant Ply</f>
        <v>0</v>
      </c>
    </row>
    <row r="18" spans="1:6">
      <c r="A18" t="s">
        <v>22</v>
      </c>
      <c r="B18" t="s">
        <v>42</v>
      </c>
      <c r="C18">
        <v>10</v>
      </c>
      <c r="D18">
        <v>10</v>
      </c>
      <c r="E18" t="s">
        <v>45</v>
      </c>
      <c r="F18" t="s">
        <v>48</v>
      </c>
    </row>
    <row r="19" spans="1:6">
      <c r="A19" t="s">
        <v>23</v>
      </c>
      <c r="B19" t="s">
        <v>38</v>
      </c>
      <c r="C19">
        <v>4</v>
      </c>
      <c r="D19">
        <v>4</v>
      </c>
      <c r="E19" t="s">
        <v>45</v>
      </c>
      <c r="F19" t="s">
        <v>49</v>
      </c>
    </row>
    <row r="20" spans="1:6">
      <c r="A20" t="s">
        <v>24</v>
      </c>
      <c r="B20" t="s">
        <v>33</v>
      </c>
      <c r="C20">
        <v>7</v>
      </c>
      <c r="D20">
        <v>7</v>
      </c>
      <c r="E20" t="s">
        <v>45</v>
      </c>
      <c r="F20" t="s">
        <v>50</v>
      </c>
    </row>
    <row r="21" spans="1:6">
      <c r="A21" t="s">
        <v>25</v>
      </c>
      <c r="B21" t="s">
        <v>35</v>
      </c>
      <c r="C21">
        <v>10</v>
      </c>
      <c r="D21">
        <v>10</v>
      </c>
      <c r="E21" t="s">
        <v>45</v>
      </c>
      <c r="F21">
        <f> plant Belt</f>
        <v>0</v>
      </c>
    </row>
    <row r="22" spans="1:6">
      <c r="A22" t="s">
        <v>26</v>
      </c>
      <c r="B22" t="s">
        <v>32</v>
      </c>
      <c r="C22">
        <v>10</v>
      </c>
      <c r="D22">
        <v>10</v>
      </c>
      <c r="E22" t="s">
        <v>45</v>
      </c>
      <c r="F22">
        <f> plant Ply</f>
        <v>0</v>
      </c>
    </row>
    <row r="23" spans="1:6">
      <c r="A23" t="s">
        <v>27</v>
      </c>
      <c r="B23" t="s">
        <v>42</v>
      </c>
      <c r="C23">
        <v>10</v>
      </c>
      <c r="D23">
        <v>10</v>
      </c>
      <c r="E23" t="s">
        <v>45</v>
      </c>
      <c r="F23">
        <f> calendered roll</f>
        <v>0</v>
      </c>
    </row>
    <row r="24" spans="1:6">
      <c r="A24" t="s">
        <v>28</v>
      </c>
      <c r="B24" t="s">
        <v>43</v>
      </c>
      <c r="C24">
        <v>10</v>
      </c>
      <c r="D24">
        <v>10</v>
      </c>
      <c r="E24" t="s">
        <v>45</v>
      </c>
      <c r="F24" t="s">
        <v>51</v>
      </c>
    </row>
    <row r="25" spans="1:6">
      <c r="A25" t="s">
        <v>29</v>
      </c>
      <c r="B25" t="s">
        <v>43</v>
      </c>
      <c r="C25">
        <v>10</v>
      </c>
      <c r="D25">
        <v>10</v>
      </c>
      <c r="E25" t="s">
        <v>45</v>
      </c>
      <c r="F2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2026-06-07T13:16:04Z</dcterms:created>
  <dcterms:modified xsi:type="dcterms:W3CDTF">2026-06-07T13:16:04Z</dcterms:modified>
</cp:coreProperties>
</file>